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ctivity Log" sheetId="2" state="visible" r:id="rId4"/>
    <sheet name="Credit Estimat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<sst xmlns="http://schemas.openxmlformats.org/spreadsheetml/2006/main" count="236" uniqueCount="166">
  <si>
    <t xml:space="preserve">SR&amp;ED Activity Log — Template Guide</t>
  </si>
  <si>
    <t xml:space="preserve">Use this workbook to log your team's R&amp;D activity. Upload to TaxLift and we'll include it in your SR&amp;ED credit estimate.</t>
  </si>
  <si>
    <t xml:space="preserve">WHAT IS SR&amp;ED?</t>
  </si>
  <si>
    <t xml:space="preserve">SR&amp;ED (Scientific Research &amp; Experimental Development) is Canada's largest R&amp;D tax incentive program,
administered by the CRA. CCPCs can claim up to 35% of eligible expenditures as a refundable credit.</t>
  </si>
  <si>
    <t xml:space="preserve">WHO SHOULD FILL THIS IN?</t>
  </si>
  <si>
    <t xml:space="preserve">Engineering leads, tech leads, or anyone who can describe what your team built and why it was technically uncertain.</t>
  </si>
  <si>
    <t xml:space="preserve">HOW TO USE THIS TEMPLATE</t>
  </si>
  <si>
    <t xml:space="preserve">Step 1</t>
  </si>
  <si>
    <t xml:space="preserve">Go to the 'Activity Log' sheet. Each row = one development activity or story.</t>
  </si>
  <si>
    <t xml:space="preserve">Step 2</t>
  </si>
  <si>
    <t xml:space="preserve">Fill in Date, Type, Module, Title, and Description columns first.</t>
  </si>
  <si>
    <t xml:space="preserve">Step 3</t>
  </si>
  <si>
    <t xml:space="preserve">For each row, set 'SR&amp;ED Eligible?' to Yes / No / Partial.</t>
  </si>
  <si>
    <t xml:space="preserve">Step 4</t>
  </si>
  <si>
    <t xml:space="preserve">Fill in Hours Spent and Developer Role — these drive the credit estimate.</t>
  </si>
  <si>
    <t xml:space="preserve">Step 5</t>
  </si>
  <si>
    <t xml:space="preserve">For eligible rows, briefly describe the Technological Uncertainty (see below).</t>
  </si>
  <si>
    <t xml:space="preserve">Step 6</t>
  </si>
  <si>
    <t xml:space="preserve">Save the file and upload it at taxlift.ai/dashboard.</t>
  </si>
  <si>
    <t xml:space="preserve">COLUMN GUIDE</t>
  </si>
  <si>
    <t xml:space="preserve">Date</t>
  </si>
  <si>
    <t xml:space="preserve">Date the work was completed (YYYY-MM-DD). Use the actual completion date, not commit date.</t>
  </si>
  <si>
    <t xml:space="preserve">Type</t>
  </si>
  <si>
    <t xml:space="preserve">Feature | Bug Fix | Security | Research | Experiment | Infrastructure | Documentation</t>
  </si>
  <si>
    <t xml:space="preserve">Module / Area</t>
  </si>
  <si>
    <t xml:space="preserve">The part of your product this work belongs to (e.g. API, Authentication, ML Pipeline, UI).</t>
  </si>
  <si>
    <t xml:space="preserve">Title</t>
  </si>
  <si>
    <t xml:space="preserve">Short description — same as your ticket/commit title is fine (max ~80 chars).</t>
  </si>
  <si>
    <t xml:space="preserve">Description</t>
  </si>
  <si>
    <t xml:space="preserve">What you built and why. More detail here = stronger CRA narrative. 1–3 sentences minimum.</t>
  </si>
  <si>
    <t xml:space="preserve">Developer Role</t>
  </si>
  <si>
    <t xml:space="preserve">Developer | Senior Developer | Architect | QA Engineer | ML Engineer | Product</t>
  </si>
  <si>
    <t xml:space="preserve">Hours Spent</t>
  </si>
  <si>
    <t xml:space="preserve">Total hours your team spent on this activity. Estimate is fine — CRA allows ±15%.</t>
  </si>
  <si>
    <t xml:space="preserve">SR&amp;ED Eligible?</t>
  </si>
  <si>
    <t xml:space="preserve">Yes = clearly eligible  |  Partial = part of the work qualifies  |  No = routine work</t>
  </si>
  <si>
    <t xml:space="preserve">Technological Uncertainty</t>
  </si>
  <si>
    <t xml:space="preserve">Required for eligible rows. What did you NOT know how to do before starting?
Example: 'Unsure whether transformer embeddings would generalise to short code snippets under 10 tokens.'</t>
  </si>
  <si>
    <t xml:space="preserve">Impact</t>
  </si>
  <si>
    <t xml:space="preserve">Critical | High | Medium | Low — your team's assessment of business impact.</t>
  </si>
  <si>
    <t xml:space="preserve">WHAT MAKES WORK SRED-ELIGIBLE?</t>
  </si>
  <si>
    <t xml:space="preserve">✓  You didn't know in advance whether the approach would work</t>
  </si>
  <si>
    <t xml:space="preserve">✓  You investigated a scientific or technological uncertainty</t>
  </si>
  <si>
    <t xml:space="preserve">✓  The work involved systematic investigation (experiment, testing, iteration)</t>
  </si>
  <si>
    <t xml:space="preserve">✗  Routine bug fixes with known solutions are NOT eligible</t>
  </si>
  <si>
    <t xml:space="preserve">✗  Standard integration work (REST APIs, off-the-shelf libraries) is NOT eligible</t>
  </si>
  <si>
    <t xml:space="preserve">IMPORTANT NOTES</t>
  </si>
  <si>
    <t xml:space="preserve">• Do not delete columns or rename headers — TaxLift's parser uses exact column names.</t>
  </si>
  <si>
    <t xml:space="preserve">• You can add rows for each sprint, month, or ticket — whatever is easiest for your team.</t>
  </si>
  <si>
    <t xml:space="preserve">• If you are unsure about eligibility, mark it 'Partial' and our system will flag it for CPA review.</t>
  </si>
  <si>
    <t xml:space="preserve">• This template covers developer time only. Materials, subcontractors, and overhead can be added via your CPA.</t>
  </si>
  <si>
    <t xml:space="preserve">SR&amp;ED Activity Log</t>
  </si>
  <si>
    <t xml:space="preserve">Company: [Your Company Name]     Fiscal Year: [YYYY]     Prepared by: [Name]     Date: [YYYY-MM-DD]</t>
  </si>
  <si>
    <t xml:space="preserve">2024-06-15</t>
  </si>
  <si>
    <t xml:space="preserve">Research</t>
  </si>
  <si>
    <t xml:space="preserve">ML Pipeline</t>
  </si>
  <si>
    <t xml:space="preserve">Evaluate embedding models for domain classification</t>
  </si>
  <si>
    <t xml:space="preserve">Compared three transformer architectures (BERT-base, RoBERTa, DeBERTa) for short-text classification on proprietary dataset. No prior benchmarks exist for this domain.</t>
  </si>
  <si>
    <t xml:space="preserve">Senior Developer</t>
  </si>
  <si>
    <t xml:space="preserve">Yes</t>
  </si>
  <si>
    <t xml:space="preserve">Unknown whether pre-trained LLMs would transfer to highly domain-specific short text without fine-tuning. Domain vocabulary substantially differs from training corpora.</t>
  </si>
  <si>
    <t xml:space="preserve">High</t>
  </si>
  <si>
    <t xml:space="preserve">2024-06-14</t>
  </si>
  <si>
    <t xml:space="preserve">Experiment</t>
  </si>
  <si>
    <t xml:space="preserve">Test tokenisation strategies for mixed code/prose inputs</t>
  </si>
  <si>
    <t xml:space="preserve">Investigated whether a single tokeniser could handle mixed code-prose inputs without accuracy loss. Prior work assumed homogeneous input type.</t>
  </si>
  <si>
    <t xml:space="preserve">ML Engineer</t>
  </si>
  <si>
    <t xml:space="preserve">Unclear whether shared tokenisation degrades performance on code tokens with low corpus frequency. No published results for this mixed-input regime.</t>
  </si>
  <si>
    <t xml:space="preserve">2024-06-12</t>
  </si>
  <si>
    <t xml:space="preserve">Feature</t>
  </si>
  <si>
    <t xml:space="preserve">API</t>
  </si>
  <si>
    <t xml:space="preserve">Adaptive rate-limiting with per-tenant exponential backoff</t>
  </si>
  <si>
    <t xml:space="preserve">Built per-tenant rate limiter with exponential backoff. Standard libraries lacked per-tenant granularity; custom sliding-window algorithm required.</t>
  </si>
  <si>
    <t xml:space="preserve">Partial</t>
  </si>
  <si>
    <t xml:space="preserve">Uncertain whether a sliding-window algorithm would remain accurate under burst traffic without adding unacceptable latency.</t>
  </si>
  <si>
    <t xml:space="preserve">Medium</t>
  </si>
  <si>
    <t xml:space="preserve">2024-06-10</t>
  </si>
  <si>
    <t xml:space="preserve">Infrastructure</t>
  </si>
  <si>
    <t xml:space="preserve">Data Pipeline</t>
  </si>
  <si>
    <t xml:space="preserve">Fault-tolerant CDC stream from legacy PostgreSQL</t>
  </si>
  <si>
    <t xml:space="preserve">Set up change-data-capture from a legacy PostgreSQL instance with no native replication slot support. Required custom WAL-level parsing.</t>
  </si>
  <si>
    <t xml:space="preserve">Architect</t>
  </si>
  <si>
    <t xml:space="preserve">Unclear whether WAL-level parsing would be reliable across minor PostgreSQL versions without vendor support documentation.</t>
  </si>
  <si>
    <t xml:space="preserve">2024-06-08</t>
  </si>
  <si>
    <t xml:space="preserve">Security</t>
  </si>
  <si>
    <t xml:space="preserve">Authentication</t>
  </si>
  <si>
    <t xml:space="preserve">Zero-trust session model for multi-region deployment</t>
  </si>
  <si>
    <t xml:space="preserve">Investigated PASETO vs JWT for stateless sessions in a multi-region active-active setup. Focused on clock-skew handling and replay detection.</t>
  </si>
  <si>
    <t xml:space="preserve">No established guidance for clock-skew tolerance in active-active session validation without a central session store.</t>
  </si>
  <si>
    <t xml:space="preserve">2024-06-05</t>
  </si>
  <si>
    <t xml:space="preserve">Search</t>
  </si>
  <si>
    <t xml:space="preserve">Semantic search over structured + unstructured data</t>
  </si>
  <si>
    <t xml:space="preserve">Developed hybrid BM25 + dense vector index for mixed structured/unstructured queries. Off-the-shelf solutions degraded significantly on structured filters.</t>
  </si>
  <si>
    <t xml:space="preserve">Unknown whether vector similarity could be combined with relational filters without recall degradation at scale.</t>
  </si>
  <si>
    <t xml:space="preserve">2024-06-03</t>
  </si>
  <si>
    <t xml:space="preserve">Bug Fix</t>
  </si>
  <si>
    <t xml:space="preserve">Fix memory leak in WebSocket connection pool</t>
  </si>
  <si>
    <t xml:space="preserve">Traced gradual memory growth in the WS pool under sustained load. Root cause was unreleased event listeners on reconnect cycles.</t>
  </si>
  <si>
    <t xml:space="preserve">Developer</t>
  </si>
  <si>
    <t xml:space="preserve">No</t>
  </si>
  <si>
    <t xml:space="preserve">2024-05-31</t>
  </si>
  <si>
    <t xml:space="preserve">Incremental model retraining on live production streams</t>
  </si>
  <si>
    <t xml:space="preserve">Benchmarked full retrain vs. continual learning on live production data stream. Evaluated catastrophic forgetting risk under distribution shift.</t>
  </si>
  <si>
    <t xml:space="preserve">Uncertainty whether continual fine-tuning on streaming data causes catastrophic forgetting without explicit replay mechanisms.</t>
  </si>
  <si>
    <t xml:space="preserve">2024-05-28</t>
  </si>
  <si>
    <t xml:space="preserve">UI</t>
  </si>
  <si>
    <t xml:space="preserve">Real-time collaborative editing with CRDT merge</t>
  </si>
  <si>
    <t xml:space="preserve">Implemented CRDT-based conflict resolution for simultaneous multi-user edits. Operational transforms not viable at this document schema complexity.</t>
  </si>
  <si>
    <t xml:space="preserve">Uncertain whether CRDT merge semantics preserve document integrity under concurrent structural (not just text) edits.</t>
  </si>
  <si>
    <t xml:space="preserve">2024-05-24</t>
  </si>
  <si>
    <t xml:space="preserve">Few-shot classification with 3–5 labelled examples</t>
  </si>
  <si>
    <t xml:space="preserve">Tested whether GPT-4 style few-shot prompting could replace a fine-tuned classifier for low-resource categories in production.</t>
  </si>
  <si>
    <t xml:space="preserve">No reliable method to predict few-shot accuracy at under 5 examples for highly imbalanced classes in this domain.</t>
  </si>
  <si>
    <t xml:space="preserve">2024-05-20</t>
  </si>
  <si>
    <t xml:space="preserve">DevOps</t>
  </si>
  <si>
    <t xml:space="preserve">Blue-green deployment with zero-downtime schema migration</t>
  </si>
  <si>
    <t xml:space="preserve">Designed a blue-green pipeline handling schema migrations mid-cutover without read locks on a 200GB live table.</t>
  </si>
  <si>
    <t xml:space="preserve">Unclear whether online schema migration tooling (gh-ost) handles trigger-heavy schemas without replication lag amplification.</t>
  </si>
  <si>
    <t xml:space="preserve">2024-05-16</t>
  </si>
  <si>
    <t xml:space="preserve">Billing</t>
  </si>
  <si>
    <t xml:space="preserve">Sub-minute usage metering for accurate per-call billing</t>
  </si>
  <si>
    <t xml:space="preserve">Built metering system tracking API usage at sub-minute resolution. Existing solutions had a 5-minute floor, making per-call billing inaccurate.</t>
  </si>
  <si>
    <t xml:space="preserve">2024-05-12</t>
  </si>
  <si>
    <t xml:space="preserve">Benchmark ANN libraries for production workload</t>
  </si>
  <si>
    <t xml:space="preserve">Benchmarked FAISS, Annoy, and ScaNN on recall vs. latency for our dimensionality and update frequency requirements.</t>
  </si>
  <si>
    <t xml:space="preserve">No published benchmarks matched our update frequency (&gt;500 writes/sec) with high dimensionality (1536-dim) vectors.</t>
  </si>
  <si>
    <t xml:space="preserve">2024-05-08</t>
  </si>
  <si>
    <t xml:space="preserve">Custom seccomp profiles for container runtime hardening</t>
  </si>
  <si>
    <t xml:space="preserve">Authored custom seccomp profiles restricting syscalls to minimum required set. Default Docker profiles insufficient for compliance posture.</t>
  </si>
  <si>
    <t xml:space="preserve">Uncertain whether restricting to minimal syscall set would remain stable across kernel minor versions and container runtimes.</t>
  </si>
  <si>
    <t xml:space="preserve">Low</t>
  </si>
  <si>
    <t xml:space="preserve">2024-05-04</t>
  </si>
  <si>
    <t xml:space="preserve">Idempotency key system for distributed payment processing</t>
  </si>
  <si>
    <t xml:space="preserve">Implemented server-side idempotency keys with Redis-backed deduplication window to prevent double-charge under retry storms.</t>
  </si>
  <si>
    <t xml:space="preserve">Uncertain whether a Redis TTL-based deduplication window remains consistent under split-brain scenarios without distributed locking.</t>
  </si>
  <si>
    <t xml:space="preserve">TOTALS</t>
  </si>
  <si>
    <t xml:space="preserve">SR&amp;ED Credit Estimate</t>
  </si>
  <si>
    <t xml:space="preserve">Based on hours logged in Activity Log — TaxLift will refine this estimate after CPA review.</t>
  </si>
  <si>
    <t xml:space="preserve">A. Assumptions (yellow = your inputs)</t>
  </si>
  <si>
    <t xml:space="preserve">Architect / ML</t>
  </si>
  <si>
    <t xml:space="preserve">Avg annual salary (CAD)</t>
  </si>
  <si>
    <t xml:space="preserve">Overhead rate</t>
  </si>
  <si>
    <t xml:space="preserve">Annual working hours</t>
  </si>
  <si>
    <t xml:space="preserve">B. Hours from Activity Log  (linked — do not edit)</t>
  </si>
  <si>
    <t xml:space="preserve">Yes (eligible)</t>
  </si>
  <si>
    <t xml:space="preserve">Partial (50%)</t>
  </si>
  <si>
    <t xml:space="preserve">Total hours</t>
  </si>
  <si>
    <t xml:space="preserve">QA Engineer</t>
  </si>
  <si>
    <t xml:space="preserve">Product</t>
  </si>
  <si>
    <t xml:space="preserve">TOTAL ELIGIBLE HOURS</t>
  </si>
  <si>
    <t xml:space="preserve">C. Eligible Expenditures (CAD)</t>
  </si>
  <si>
    <t xml:space="preserve">Hourly rate (salary ÷ hrs/yr)</t>
  </si>
  <si>
    <t xml:space="preserve">Eligible dev time (Yes)</t>
  </si>
  <si>
    <t xml:space="preserve">Eligible dev time (Partial × 50%)</t>
  </si>
  <si>
    <t xml:space="preserve">Overhead on eligible time (20%)</t>
  </si>
  <si>
    <t xml:space="preserve">Total eligible expenditure</t>
  </si>
  <si>
    <t xml:space="preserve">D. SR&amp;ED Credit Summary</t>
  </si>
  <si>
    <t xml:space="preserve">Total eligible expenditure (all roles)</t>
  </si>
  <si>
    <t xml:space="preserve">Federal SR&amp;ED credit rate (CCPC ≤ $3M income)</t>
  </si>
  <si>
    <t xml:space="preserve">35%</t>
  </si>
  <si>
    <t xml:space="preserve">Provincial credit rate (Ontario example — adjust for your province)</t>
  </si>
  <si>
    <t xml:space="preserve">8%</t>
  </si>
  <si>
    <t xml:space="preserve">Federal SR&amp;ED refundable credit</t>
  </si>
  <si>
    <t xml:space="preserve">Provincial SR&amp;ED refundable credit</t>
  </si>
  <si>
    <t xml:space="preserve">TOTAL ESTIMATED SR&amp;ED CREDIT</t>
  </si>
  <si>
    <t xml:space="preserve">⚠  This estimate is indicative only. Final SR&amp;ED claims must be prepared and certified by a qualified CPA. TaxLift automates data extraction and narrative generation — your CPA signs off on the T661.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</si>
</sst>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\h"/>
    <numFmt numFmtId="166" formatCode="\$#,##0"/>
    <numFmt numFmtId="167" formatCode="0%"/>
    <numFmt numFmtId="168" formatCode="#,##0"/>
    <numFmt numFmtId="169" formatCode="\$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9"/>
      <color rgb="FF4F46E5"/>
      <name val="Arial"/>
      <family val="0"/>
      <charset val="1"/>
    </font>
    <font>
      <sz val="9"/>
      <color rgb="FF374151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4F46E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color rgb="FFD97706"/>
      <name val="Arial"/>
      <family val="0"/>
      <charset val="1"/>
    </font>
    <font>
      <b val="true"/>
      <sz val="9"/>
      <color rgb="FF16A34A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8"/>
      <color rgb="FF1F293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6B728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46E5"/>
        <bgColor rgb="FF6B7280"/>
      </patternFill>
    </fill>
    <fill>
      <patternFill patternType="solid">
        <fgColor rgb="FFEEF2FF"/>
        <bgColor rgb="FFF9FAFB"/>
      </patternFill>
    </fill>
    <fill>
      <patternFill patternType="solid">
        <fgColor rgb="FF1F2937"/>
        <bgColor rgb="FF333300"/>
      </patternFill>
    </fill>
    <fill>
      <patternFill patternType="solid">
        <fgColor rgb="FFF9FAFB"/>
        <bgColor rgb="FFFFFFFF"/>
      </patternFill>
    </fill>
    <fill>
      <patternFill patternType="solid">
        <fgColor rgb="FFDCFCE7"/>
        <bgColor rgb="FFEEF2FF"/>
      </patternFill>
    </fill>
    <fill>
      <patternFill patternType="solid">
        <fgColor rgb="FFFEF3C7"/>
        <bgColor rgb="FFFEFCE8"/>
      </patternFill>
    </fill>
    <fill>
      <patternFill patternType="solid">
        <fgColor rgb="FFFFFFFF"/>
        <bgColor rgb="FFF9FAFB"/>
      </patternFill>
    </fill>
    <fill>
      <patternFill patternType="solid">
        <fgColor rgb="FFE5E7EB"/>
        <bgColor rgb="FFEEF2FF"/>
      </patternFill>
    </fill>
    <fill>
      <patternFill patternType="solid">
        <fgColor rgb="FFFEFCE8"/>
        <bgColor rgb="FFF9FA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D1D5DB"/>
      </left>
      <right/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E5E7EB"/>
      <rgbColor rgb="FFFEFCE8"/>
      <rgbColor rgb="FF99CCFF"/>
      <rgbColor rgb="FFFF99CC"/>
      <rgbColor rgb="FFCC99FF"/>
      <rgbColor rgb="FFF9FAFB"/>
      <rgbColor rgb="FF4F46E5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68"/>
    <col collapsed="false" customWidth="true" hidden="false" outlineLevel="0" max="4" min="4" style="1" width="3"/>
  </cols>
  <sheetData>
    <row r="2" customFormat="false" ht="36" hidden="false" customHeight="true" outlineLevel="0" collapsed="false">
      <c r="B2" s="2" t="s">
        <v>0</v>
      </c>
      <c r="C2" s="2"/>
    </row>
    <row r="3" customFormat="false" ht="21.75" hidden="false" customHeight="true" outlineLevel="0" collapsed="false">
      <c r="B3" s="3" t="s">
        <v>1</v>
      </c>
      <c r="C3" s="3"/>
    </row>
    <row r="5" customFormat="false" ht="18" hidden="false" customHeight="true" outlineLevel="0" collapsed="false">
      <c r="B5" s="4" t="s">
        <v>2</v>
      </c>
      <c r="C5" s="5"/>
    </row>
    <row r="6" customFormat="false" ht="18" hidden="false" customHeight="true" outlineLevel="0" collapsed="false">
      <c r="B6" s="6"/>
      <c r="C6" s="5" t="s">
        <v>3</v>
      </c>
    </row>
    <row r="8" customFormat="false" ht="18" hidden="false" customHeight="true" outlineLevel="0" collapsed="false">
      <c r="B8" s="4" t="s">
        <v>4</v>
      </c>
      <c r="C8" s="5"/>
    </row>
    <row r="9" customFormat="false" ht="18" hidden="false" customHeight="true" outlineLevel="0" collapsed="false">
      <c r="B9" s="6"/>
      <c r="C9" s="5" t="s">
        <v>5</v>
      </c>
    </row>
    <row r="11" customFormat="false" ht="18" hidden="false" customHeight="true" outlineLevel="0" collapsed="false">
      <c r="B11" s="4" t="s">
        <v>6</v>
      </c>
      <c r="C11" s="5"/>
    </row>
    <row r="12" customFormat="false" ht="18" hidden="false" customHeight="true" outlineLevel="0" collapsed="false">
      <c r="B12" s="6" t="s">
        <v>7</v>
      </c>
      <c r="C12" s="5" t="s">
        <v>8</v>
      </c>
    </row>
    <row r="13" customFormat="false" ht="18" hidden="false" customHeight="true" outlineLevel="0" collapsed="false">
      <c r="B13" s="6" t="s">
        <v>9</v>
      </c>
      <c r="C13" s="5" t="s">
        <v>10</v>
      </c>
    </row>
    <row r="14" customFormat="false" ht="18" hidden="false" customHeight="true" outlineLevel="0" collapsed="false">
      <c r="B14" s="6" t="s">
        <v>11</v>
      </c>
      <c r="C14" s="5" t="s">
        <v>12</v>
      </c>
    </row>
    <row r="15" customFormat="false" ht="18" hidden="false" customHeight="true" outlineLevel="0" collapsed="false">
      <c r="B15" s="6" t="s">
        <v>13</v>
      </c>
      <c r="C15" s="5" t="s">
        <v>14</v>
      </c>
    </row>
    <row r="16" customFormat="false" ht="18" hidden="false" customHeight="true" outlineLevel="0" collapsed="false">
      <c r="B16" s="6" t="s">
        <v>15</v>
      </c>
      <c r="C16" s="5" t="s">
        <v>16</v>
      </c>
    </row>
    <row r="17" customFormat="false" ht="18" hidden="false" customHeight="true" outlineLevel="0" collapsed="false">
      <c r="B17" s="6" t="s">
        <v>17</v>
      </c>
      <c r="C17" s="5" t="s">
        <v>18</v>
      </c>
    </row>
    <row r="19" customFormat="false" ht="18" hidden="false" customHeight="true" outlineLevel="0" collapsed="false">
      <c r="B19" s="4" t="s">
        <v>19</v>
      </c>
      <c r="C19" s="5"/>
    </row>
    <row r="20" customFormat="false" ht="18" hidden="false" customHeight="true" outlineLevel="0" collapsed="false">
      <c r="B20" s="6" t="s">
        <v>20</v>
      </c>
      <c r="C20" s="5" t="s">
        <v>21</v>
      </c>
    </row>
    <row r="21" customFormat="false" ht="18" hidden="false" customHeight="true" outlineLevel="0" collapsed="false">
      <c r="B21" s="6" t="s">
        <v>22</v>
      </c>
      <c r="C21" s="5" t="s">
        <v>23</v>
      </c>
    </row>
    <row r="22" customFormat="false" ht="18" hidden="false" customHeight="true" outlineLevel="0" collapsed="false">
      <c r="B22" s="6" t="s">
        <v>24</v>
      </c>
      <c r="C22" s="5" t="s">
        <v>25</v>
      </c>
    </row>
    <row r="23" customFormat="false" ht="18" hidden="false" customHeight="true" outlineLevel="0" collapsed="false">
      <c r="B23" s="6" t="s">
        <v>26</v>
      </c>
      <c r="C23" s="5" t="s">
        <v>27</v>
      </c>
    </row>
    <row r="24" customFormat="false" ht="18" hidden="false" customHeight="true" outlineLevel="0" collapsed="false">
      <c r="B24" s="6" t="s">
        <v>28</v>
      </c>
      <c r="C24" s="5" t="s">
        <v>29</v>
      </c>
    </row>
    <row r="25" customFormat="false" ht="18" hidden="false" customHeight="true" outlineLevel="0" collapsed="false">
      <c r="B25" s="6" t="s">
        <v>30</v>
      </c>
      <c r="C25" s="5" t="s">
        <v>31</v>
      </c>
    </row>
    <row r="26" customFormat="false" ht="18" hidden="false" customHeight="true" outlineLevel="0" collapsed="false">
      <c r="B26" s="6" t="s">
        <v>32</v>
      </c>
      <c r="C26" s="5" t="s">
        <v>33</v>
      </c>
    </row>
    <row r="27" customFormat="false" ht="18" hidden="false" customHeight="true" outlineLevel="0" collapsed="false">
      <c r="B27" s="6" t="s">
        <v>34</v>
      </c>
      <c r="C27" s="5" t="s">
        <v>35</v>
      </c>
    </row>
    <row r="28" customFormat="false" ht="18" hidden="false" customHeight="true" outlineLevel="0" collapsed="false">
      <c r="B28" s="6" t="s">
        <v>36</v>
      </c>
      <c r="C28" s="5" t="s">
        <v>37</v>
      </c>
    </row>
    <row r="29" customFormat="false" ht="18" hidden="false" customHeight="true" outlineLevel="0" collapsed="false">
      <c r="B29" s="6" t="s">
        <v>38</v>
      </c>
      <c r="C29" s="5" t="s">
        <v>39</v>
      </c>
    </row>
    <row r="31" customFormat="false" ht="18" hidden="false" customHeight="true" outlineLevel="0" collapsed="false">
      <c r="B31" s="4" t="s">
        <v>40</v>
      </c>
      <c r="C31" s="5"/>
    </row>
    <row r="32" customFormat="false" ht="18" hidden="false" customHeight="true" outlineLevel="0" collapsed="false">
      <c r="B32" s="6"/>
      <c r="C32" s="5" t="s">
        <v>41</v>
      </c>
    </row>
    <row r="33" customFormat="false" ht="18" hidden="false" customHeight="true" outlineLevel="0" collapsed="false">
      <c r="B33" s="6"/>
      <c r="C33" s="5" t="s">
        <v>42</v>
      </c>
    </row>
    <row r="34" customFormat="false" ht="18" hidden="false" customHeight="true" outlineLevel="0" collapsed="false">
      <c r="B34" s="6"/>
      <c r="C34" s="5" t="s">
        <v>43</v>
      </c>
    </row>
    <row r="35" customFormat="false" ht="18" hidden="false" customHeight="true" outlineLevel="0" collapsed="false">
      <c r="B35" s="6"/>
      <c r="C35" s="5" t="s">
        <v>44</v>
      </c>
    </row>
    <row r="36" customFormat="false" ht="18" hidden="false" customHeight="true" outlineLevel="0" collapsed="false">
      <c r="B36" s="6"/>
      <c r="C36" s="5" t="s">
        <v>45</v>
      </c>
    </row>
    <row r="38" customFormat="false" ht="18" hidden="false" customHeight="true" outlineLevel="0" collapsed="false">
      <c r="B38" s="4" t="s">
        <v>46</v>
      </c>
      <c r="C38" s="5"/>
    </row>
    <row r="39" customFormat="false" ht="18" hidden="false" customHeight="true" outlineLevel="0" collapsed="false">
      <c r="B39" s="6"/>
      <c r="C39" s="5" t="s">
        <v>47</v>
      </c>
    </row>
    <row r="40" customFormat="false" ht="18" hidden="false" customHeight="true" outlineLevel="0" collapsed="false">
      <c r="B40" s="6"/>
      <c r="C40" s="5" t="s">
        <v>48</v>
      </c>
    </row>
    <row r="41" customFormat="false" ht="18" hidden="false" customHeight="true" outlineLevel="0" collapsed="false">
      <c r="B41" s="6"/>
      <c r="C41" s="5" t="s">
        <v>49</v>
      </c>
    </row>
    <row r="42" customFormat="false" ht="18" hidden="false" customHeight="true" outlineLevel="0" collapsed="false">
      <c r="B42" s="6"/>
      <c r="C42" s="5" t="s">
        <v>50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3" min="3" style="1" width="20"/>
    <col collapsed="false" customWidth="true" hidden="false" outlineLevel="0" max="4" min="4" style="1" width="36"/>
    <col collapsed="false" customWidth="true" hidden="false" outlineLevel="0" max="5" min="5" style="1" width="52"/>
    <col collapsed="false" customWidth="true" hidden="false" outlineLevel="0" max="6" min="6" style="1" width="20"/>
    <col collapsed="false" customWidth="true" hidden="false" outlineLevel="0" max="7" min="7" style="1" width="13"/>
    <col collapsed="false" customWidth="true" hidden="false" outlineLevel="0" max="8" min="8" style="1" width="16"/>
    <col collapsed="false" customWidth="true" hidden="false" outlineLevel="0" max="9" min="9" style="1" width="44"/>
    <col collapsed="false" customWidth="true" hidden="false" outlineLevel="0" max="10" min="10" style="1" width="13"/>
  </cols>
  <sheetData>
    <row r="1" customFormat="false" ht="31.5" hidden="false" customHeight="true" outlineLevel="0" collapsed="false">
      <c r="A1" s="7" t="s">
        <v>51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9.5" hidden="false" customHeight="true" outlineLevel="0" collapsed="false">
      <c r="A2" s="8" t="s">
        <v>52</v>
      </c>
      <c r="B2" s="8"/>
      <c r="C2" s="8"/>
      <c r="D2" s="8"/>
      <c r="E2" s="8"/>
      <c r="F2" s="8"/>
      <c r="G2" s="8"/>
      <c r="H2" s="8"/>
      <c r="I2" s="8"/>
      <c r="J2" s="8"/>
    </row>
    <row r="3" customFormat="false" ht="27.75" hidden="false" customHeight="true" outlineLevel="0" collapsed="false">
      <c r="A3" s="9" t="s">
        <v>20</v>
      </c>
      <c r="B3" s="9" t="s">
        <v>22</v>
      </c>
      <c r="C3" s="9" t="s">
        <v>24</v>
      </c>
      <c r="D3" s="9" t="s">
        <v>26</v>
      </c>
      <c r="E3" s="9" t="s">
        <v>28</v>
      </c>
      <c r="F3" s="9" t="s">
        <v>30</v>
      </c>
      <c r="G3" s="9" t="s">
        <v>32</v>
      </c>
      <c r="H3" s="9" t="s">
        <v>34</v>
      </c>
      <c r="I3" s="9" t="s">
        <v>36</v>
      </c>
      <c r="J3" s="9" t="s">
        <v>38</v>
      </c>
    </row>
    <row r="4" customFormat="false" ht="42" hidden="false" customHeight="true" outlineLevel="0" collapsed="false">
      <c r="A4" s="10" t="s">
        <v>53</v>
      </c>
      <c r="B4" s="10" t="s">
        <v>54</v>
      </c>
      <c r="C4" s="10" t="s">
        <v>55</v>
      </c>
      <c r="D4" s="10" t="s">
        <v>56</v>
      </c>
      <c r="E4" s="10" t="s">
        <v>57</v>
      </c>
      <c r="F4" s="10" t="s">
        <v>58</v>
      </c>
      <c r="G4" s="11" t="n">
        <v>40</v>
      </c>
      <c r="H4" s="12" t="s">
        <v>59</v>
      </c>
      <c r="I4" s="10" t="s">
        <v>60</v>
      </c>
      <c r="J4" s="13" t="s">
        <v>61</v>
      </c>
    </row>
    <row r="5" customFormat="false" ht="42" hidden="false" customHeight="true" outlineLevel="0" collapsed="false">
      <c r="A5" s="14" t="s">
        <v>62</v>
      </c>
      <c r="B5" s="14" t="s">
        <v>63</v>
      </c>
      <c r="C5" s="14" t="s">
        <v>55</v>
      </c>
      <c r="D5" s="14" t="s">
        <v>64</v>
      </c>
      <c r="E5" s="14" t="s">
        <v>65</v>
      </c>
      <c r="F5" s="14" t="s">
        <v>66</v>
      </c>
      <c r="G5" s="15" t="n">
        <v>32</v>
      </c>
      <c r="H5" s="12" t="s">
        <v>59</v>
      </c>
      <c r="I5" s="14" t="s">
        <v>67</v>
      </c>
      <c r="J5" s="13" t="s">
        <v>61</v>
      </c>
    </row>
    <row r="6" customFormat="false" ht="42" hidden="false" customHeight="true" outlineLevel="0" collapsed="false">
      <c r="A6" s="10" t="s">
        <v>68</v>
      </c>
      <c r="B6" s="10" t="s">
        <v>69</v>
      </c>
      <c r="C6" s="10" t="s">
        <v>70</v>
      </c>
      <c r="D6" s="10" t="s">
        <v>71</v>
      </c>
      <c r="E6" s="10" t="s">
        <v>72</v>
      </c>
      <c r="F6" s="10" t="s">
        <v>58</v>
      </c>
      <c r="G6" s="11" t="n">
        <v>28</v>
      </c>
      <c r="H6" s="16" t="s">
        <v>73</v>
      </c>
      <c r="I6" s="10" t="s">
        <v>74</v>
      </c>
      <c r="J6" s="17" t="s">
        <v>75</v>
      </c>
    </row>
    <row r="7" customFormat="false" ht="42" hidden="false" customHeight="true" outlineLevel="0" collapsed="false">
      <c r="A7" s="14" t="s">
        <v>76</v>
      </c>
      <c r="B7" s="14" t="s">
        <v>77</v>
      </c>
      <c r="C7" s="14" t="s">
        <v>78</v>
      </c>
      <c r="D7" s="14" t="s">
        <v>79</v>
      </c>
      <c r="E7" s="14" t="s">
        <v>80</v>
      </c>
      <c r="F7" s="14" t="s">
        <v>81</v>
      </c>
      <c r="G7" s="15" t="n">
        <v>52</v>
      </c>
      <c r="H7" s="12" t="s">
        <v>59</v>
      </c>
      <c r="I7" s="14" t="s">
        <v>82</v>
      </c>
      <c r="J7" s="13" t="s">
        <v>61</v>
      </c>
    </row>
    <row r="8" customFormat="false" ht="42" hidden="false" customHeight="true" outlineLevel="0" collapsed="false">
      <c r="A8" s="10" t="s">
        <v>83</v>
      </c>
      <c r="B8" s="10" t="s">
        <v>84</v>
      </c>
      <c r="C8" s="10" t="s">
        <v>85</v>
      </c>
      <c r="D8" s="10" t="s">
        <v>86</v>
      </c>
      <c r="E8" s="10" t="s">
        <v>87</v>
      </c>
      <c r="F8" s="10" t="s">
        <v>58</v>
      </c>
      <c r="G8" s="11" t="n">
        <v>24</v>
      </c>
      <c r="H8" s="12" t="s">
        <v>59</v>
      </c>
      <c r="I8" s="10" t="s">
        <v>88</v>
      </c>
      <c r="J8" s="13" t="s">
        <v>61</v>
      </c>
    </row>
    <row r="9" customFormat="false" ht="42" hidden="false" customHeight="true" outlineLevel="0" collapsed="false">
      <c r="A9" s="14" t="s">
        <v>89</v>
      </c>
      <c r="B9" s="14" t="s">
        <v>69</v>
      </c>
      <c r="C9" s="14" t="s">
        <v>90</v>
      </c>
      <c r="D9" s="14" t="s">
        <v>91</v>
      </c>
      <c r="E9" s="14" t="s">
        <v>92</v>
      </c>
      <c r="F9" s="14" t="s">
        <v>66</v>
      </c>
      <c r="G9" s="15" t="n">
        <v>60</v>
      </c>
      <c r="H9" s="12" t="s">
        <v>59</v>
      </c>
      <c r="I9" s="14" t="s">
        <v>93</v>
      </c>
      <c r="J9" s="13" t="s">
        <v>61</v>
      </c>
    </row>
    <row r="10" customFormat="false" ht="42" hidden="false" customHeight="true" outlineLevel="0" collapsed="false">
      <c r="A10" s="10" t="s">
        <v>94</v>
      </c>
      <c r="B10" s="10" t="s">
        <v>95</v>
      </c>
      <c r="C10" s="10" t="s">
        <v>70</v>
      </c>
      <c r="D10" s="10" t="s">
        <v>96</v>
      </c>
      <c r="E10" s="10" t="s">
        <v>97</v>
      </c>
      <c r="F10" s="10" t="s">
        <v>98</v>
      </c>
      <c r="G10" s="11" t="n">
        <v>8</v>
      </c>
      <c r="H10" s="18" t="s">
        <v>99</v>
      </c>
      <c r="I10" s="10"/>
      <c r="J10" s="17" t="s">
        <v>75</v>
      </c>
    </row>
    <row r="11" customFormat="false" ht="42" hidden="false" customHeight="true" outlineLevel="0" collapsed="false">
      <c r="A11" s="14" t="s">
        <v>100</v>
      </c>
      <c r="B11" s="14" t="s">
        <v>54</v>
      </c>
      <c r="C11" s="14" t="s">
        <v>78</v>
      </c>
      <c r="D11" s="14" t="s">
        <v>101</v>
      </c>
      <c r="E11" s="14" t="s">
        <v>102</v>
      </c>
      <c r="F11" s="14" t="s">
        <v>66</v>
      </c>
      <c r="G11" s="15" t="n">
        <v>44</v>
      </c>
      <c r="H11" s="12" t="s">
        <v>59</v>
      </c>
      <c r="I11" s="14" t="s">
        <v>103</v>
      </c>
      <c r="J11" s="13" t="s">
        <v>61</v>
      </c>
    </row>
    <row r="12" customFormat="false" ht="42" hidden="false" customHeight="true" outlineLevel="0" collapsed="false">
      <c r="A12" s="10" t="s">
        <v>104</v>
      </c>
      <c r="B12" s="10" t="s">
        <v>69</v>
      </c>
      <c r="C12" s="10" t="s">
        <v>105</v>
      </c>
      <c r="D12" s="10" t="s">
        <v>106</v>
      </c>
      <c r="E12" s="10" t="s">
        <v>107</v>
      </c>
      <c r="F12" s="10" t="s">
        <v>58</v>
      </c>
      <c r="G12" s="11" t="n">
        <v>56</v>
      </c>
      <c r="H12" s="16" t="s">
        <v>73</v>
      </c>
      <c r="I12" s="10" t="s">
        <v>108</v>
      </c>
      <c r="J12" s="13" t="s">
        <v>61</v>
      </c>
    </row>
    <row r="13" customFormat="false" ht="42" hidden="false" customHeight="true" outlineLevel="0" collapsed="false">
      <c r="A13" s="14" t="s">
        <v>109</v>
      </c>
      <c r="B13" s="14" t="s">
        <v>63</v>
      </c>
      <c r="C13" s="14" t="s">
        <v>55</v>
      </c>
      <c r="D13" s="14" t="s">
        <v>110</v>
      </c>
      <c r="E13" s="14" t="s">
        <v>111</v>
      </c>
      <c r="F13" s="14" t="s">
        <v>66</v>
      </c>
      <c r="G13" s="15" t="n">
        <v>36</v>
      </c>
      <c r="H13" s="12" t="s">
        <v>59</v>
      </c>
      <c r="I13" s="14" t="s">
        <v>112</v>
      </c>
      <c r="J13" s="17" t="s">
        <v>75</v>
      </c>
    </row>
    <row r="14" customFormat="false" ht="42" hidden="false" customHeight="true" outlineLevel="0" collapsed="false">
      <c r="A14" s="10" t="s">
        <v>113</v>
      </c>
      <c r="B14" s="10" t="s">
        <v>77</v>
      </c>
      <c r="C14" s="10" t="s">
        <v>114</v>
      </c>
      <c r="D14" s="10" t="s">
        <v>115</v>
      </c>
      <c r="E14" s="10" t="s">
        <v>116</v>
      </c>
      <c r="F14" s="10" t="s">
        <v>81</v>
      </c>
      <c r="G14" s="11" t="n">
        <v>38</v>
      </c>
      <c r="H14" s="16" t="s">
        <v>73</v>
      </c>
      <c r="I14" s="10" t="s">
        <v>117</v>
      </c>
      <c r="J14" s="13" t="s">
        <v>61</v>
      </c>
    </row>
    <row r="15" customFormat="false" ht="42" hidden="false" customHeight="true" outlineLevel="0" collapsed="false">
      <c r="A15" s="14" t="s">
        <v>118</v>
      </c>
      <c r="B15" s="14" t="s">
        <v>69</v>
      </c>
      <c r="C15" s="14" t="s">
        <v>119</v>
      </c>
      <c r="D15" s="14" t="s">
        <v>120</v>
      </c>
      <c r="E15" s="14" t="s">
        <v>121</v>
      </c>
      <c r="F15" s="14" t="s">
        <v>98</v>
      </c>
      <c r="G15" s="15" t="n">
        <v>16</v>
      </c>
      <c r="H15" s="18" t="s">
        <v>99</v>
      </c>
      <c r="I15" s="14"/>
      <c r="J15" s="17" t="s">
        <v>75</v>
      </c>
    </row>
    <row r="16" customFormat="false" ht="42" hidden="false" customHeight="true" outlineLevel="0" collapsed="false">
      <c r="A16" s="10" t="s">
        <v>122</v>
      </c>
      <c r="B16" s="10" t="s">
        <v>54</v>
      </c>
      <c r="C16" s="10" t="s">
        <v>90</v>
      </c>
      <c r="D16" s="10" t="s">
        <v>123</v>
      </c>
      <c r="E16" s="10" t="s">
        <v>124</v>
      </c>
      <c r="F16" s="10" t="s">
        <v>58</v>
      </c>
      <c r="G16" s="11" t="n">
        <v>30</v>
      </c>
      <c r="H16" s="12" t="s">
        <v>59</v>
      </c>
      <c r="I16" s="10" t="s">
        <v>125</v>
      </c>
      <c r="J16" s="13" t="s">
        <v>61</v>
      </c>
    </row>
    <row r="17" customFormat="false" ht="42" hidden="false" customHeight="true" outlineLevel="0" collapsed="false">
      <c r="A17" s="14" t="s">
        <v>126</v>
      </c>
      <c r="B17" s="14" t="s">
        <v>84</v>
      </c>
      <c r="C17" s="14" t="s">
        <v>77</v>
      </c>
      <c r="D17" s="14" t="s">
        <v>127</v>
      </c>
      <c r="E17" s="14" t="s">
        <v>128</v>
      </c>
      <c r="F17" s="14" t="s">
        <v>81</v>
      </c>
      <c r="G17" s="15" t="n">
        <v>18</v>
      </c>
      <c r="H17" s="16" t="s">
        <v>73</v>
      </c>
      <c r="I17" s="14" t="s">
        <v>129</v>
      </c>
      <c r="J17" s="19" t="s">
        <v>130</v>
      </c>
    </row>
    <row r="18" customFormat="false" ht="42" hidden="false" customHeight="true" outlineLevel="0" collapsed="false">
      <c r="A18" s="10" t="s">
        <v>131</v>
      </c>
      <c r="B18" s="10" t="s">
        <v>69</v>
      </c>
      <c r="C18" s="10" t="s">
        <v>70</v>
      </c>
      <c r="D18" s="10" t="s">
        <v>132</v>
      </c>
      <c r="E18" s="10" t="s">
        <v>133</v>
      </c>
      <c r="F18" s="10" t="s">
        <v>58</v>
      </c>
      <c r="G18" s="11" t="n">
        <v>32</v>
      </c>
      <c r="H18" s="12" t="s">
        <v>59</v>
      </c>
      <c r="I18" s="10" t="s">
        <v>134</v>
      </c>
      <c r="J18" s="13" t="s">
        <v>61</v>
      </c>
    </row>
    <row r="19" customFormat="false" ht="36" hidden="false" customHeight="true" outlineLevel="0" collapsed="false">
      <c r="A19" s="14"/>
      <c r="B19" s="14"/>
      <c r="C19" s="14"/>
      <c r="D19" s="14"/>
      <c r="E19" s="14"/>
      <c r="F19" s="14"/>
      <c r="G19" s="15"/>
      <c r="H19" s="14"/>
      <c r="I19" s="14"/>
      <c r="J19" s="14"/>
    </row>
    <row r="20" customFormat="false" ht="36" hidden="false" customHeight="true" outlineLevel="0" collapsed="false">
      <c r="A20" s="10"/>
      <c r="B20" s="10"/>
      <c r="C20" s="10"/>
      <c r="D20" s="10"/>
      <c r="E20" s="10"/>
      <c r="F20" s="10"/>
      <c r="G20" s="11"/>
      <c r="H20" s="10"/>
      <c r="I20" s="10"/>
      <c r="J20" s="10"/>
    </row>
    <row r="21" customFormat="false" ht="36" hidden="false" customHeight="true" outlineLevel="0" collapsed="false">
      <c r="A21" s="14"/>
      <c r="B21" s="14"/>
      <c r="C21" s="14"/>
      <c r="D21" s="14"/>
      <c r="E21" s="14"/>
      <c r="F21" s="14"/>
      <c r="G21" s="15"/>
      <c r="H21" s="14"/>
      <c r="I21" s="14"/>
      <c r="J21" s="14"/>
    </row>
    <row r="22" customFormat="false" ht="36" hidden="false" customHeight="true" outlineLevel="0" collapsed="false">
      <c r="A22" s="10"/>
      <c r="B22" s="10"/>
      <c r="C22" s="10"/>
      <c r="D22" s="10"/>
      <c r="E22" s="10"/>
      <c r="F22" s="10"/>
      <c r="G22" s="11"/>
      <c r="H22" s="10"/>
      <c r="I22" s="10"/>
      <c r="J22" s="10"/>
    </row>
    <row r="23" customFormat="false" ht="36" hidden="false" customHeight="true" outlineLevel="0" collapsed="false">
      <c r="A23" s="14"/>
      <c r="B23" s="14"/>
      <c r="C23" s="14"/>
      <c r="D23" s="14"/>
      <c r="E23" s="14"/>
      <c r="F23" s="14"/>
      <c r="G23" s="15"/>
      <c r="H23" s="14"/>
      <c r="I23" s="14"/>
      <c r="J23" s="14"/>
    </row>
    <row r="24" customFormat="false" ht="36" hidden="false" customHeight="true" outlineLevel="0" collapsed="false">
      <c r="A24" s="10"/>
      <c r="B24" s="10"/>
      <c r="C24" s="10"/>
      <c r="D24" s="10"/>
      <c r="E24" s="10"/>
      <c r="F24" s="10"/>
      <c r="G24" s="11"/>
      <c r="H24" s="10"/>
      <c r="I24" s="10"/>
      <c r="J24" s="10"/>
    </row>
    <row r="25" customFormat="false" ht="36" hidden="false" customHeight="true" outlineLevel="0" collapsed="false">
      <c r="A25" s="14"/>
      <c r="B25" s="14"/>
      <c r="C25" s="14"/>
      <c r="D25" s="14"/>
      <c r="E25" s="14"/>
      <c r="F25" s="14"/>
      <c r="G25" s="15"/>
      <c r="H25" s="14"/>
      <c r="I25" s="14"/>
      <c r="J25" s="14"/>
    </row>
    <row r="26" customFormat="false" ht="36" hidden="false" customHeight="true" outlineLevel="0" collapsed="false">
      <c r="A26" s="10"/>
      <c r="B26" s="10"/>
      <c r="C26" s="10"/>
      <c r="D26" s="10"/>
      <c r="E26" s="10"/>
      <c r="F26" s="10"/>
      <c r="G26" s="11"/>
      <c r="H26" s="10"/>
      <c r="I26" s="10"/>
      <c r="J26" s="10"/>
    </row>
    <row r="27" customFormat="false" ht="36" hidden="false" customHeight="true" outlineLevel="0" collapsed="false">
      <c r="A27" s="14"/>
      <c r="B27" s="14"/>
      <c r="C27" s="14"/>
      <c r="D27" s="14"/>
      <c r="E27" s="14"/>
      <c r="F27" s="14"/>
      <c r="G27" s="15"/>
      <c r="H27" s="14"/>
      <c r="I27" s="14"/>
      <c r="J27" s="14"/>
    </row>
    <row r="28" customFormat="false" ht="36" hidden="false" customHeight="true" outlineLevel="0" collapsed="false">
      <c r="A28" s="10"/>
      <c r="B28" s="10"/>
      <c r="C28" s="10"/>
      <c r="D28" s="10"/>
      <c r="E28" s="10"/>
      <c r="F28" s="10"/>
      <c r="G28" s="11"/>
      <c r="H28" s="10"/>
      <c r="I28" s="10"/>
      <c r="J28" s="10"/>
    </row>
    <row r="29" customFormat="false" ht="36" hidden="false" customHeight="true" outlineLevel="0" collapsed="false">
      <c r="A29" s="14"/>
      <c r="B29" s="14"/>
      <c r="C29" s="14"/>
      <c r="D29" s="14"/>
      <c r="E29" s="14"/>
      <c r="F29" s="14"/>
      <c r="G29" s="15"/>
      <c r="H29" s="14"/>
      <c r="I29" s="14"/>
      <c r="J29" s="14"/>
    </row>
    <row r="30" customFormat="false" ht="36" hidden="false" customHeight="true" outlineLevel="0" collapsed="false">
      <c r="A30" s="10"/>
      <c r="B30" s="10"/>
      <c r="C30" s="10"/>
      <c r="D30" s="10"/>
      <c r="E30" s="10"/>
      <c r="F30" s="10"/>
      <c r="G30" s="11"/>
      <c r="H30" s="10"/>
      <c r="I30" s="10"/>
      <c r="J30" s="10"/>
    </row>
    <row r="31" customFormat="false" ht="36" hidden="false" customHeight="true" outlineLevel="0" collapsed="false">
      <c r="A31" s="14"/>
      <c r="B31" s="14"/>
      <c r="C31" s="14"/>
      <c r="D31" s="14"/>
      <c r="E31" s="14"/>
      <c r="F31" s="14"/>
      <c r="G31" s="15"/>
      <c r="H31" s="14"/>
      <c r="I31" s="14"/>
      <c r="J31" s="14"/>
    </row>
    <row r="32" customFormat="false" ht="36" hidden="false" customHeight="true" outlineLevel="0" collapsed="false">
      <c r="A32" s="10"/>
      <c r="B32" s="10"/>
      <c r="C32" s="10"/>
      <c r="D32" s="10"/>
      <c r="E32" s="10"/>
      <c r="F32" s="10"/>
      <c r="G32" s="11"/>
      <c r="H32" s="10"/>
      <c r="I32" s="10"/>
      <c r="J32" s="10"/>
    </row>
    <row r="33" customFormat="false" ht="36" hidden="false" customHeight="true" outlineLevel="0" collapsed="false">
      <c r="A33" s="14"/>
      <c r="B33" s="14"/>
      <c r="C33" s="14"/>
      <c r="D33" s="14"/>
      <c r="E33" s="14"/>
      <c r="F33" s="14"/>
      <c r="G33" s="15"/>
      <c r="H33" s="14"/>
      <c r="I33" s="14"/>
      <c r="J33" s="14"/>
    </row>
    <row r="34" customFormat="false" ht="36" hidden="false" customHeight="true" outlineLevel="0" collapsed="false">
      <c r="A34" s="10"/>
      <c r="B34" s="10"/>
      <c r="C34" s="10"/>
      <c r="D34" s="10"/>
      <c r="E34" s="10"/>
      <c r="F34" s="10"/>
      <c r="G34" s="11"/>
      <c r="H34" s="10"/>
      <c r="I34" s="10"/>
      <c r="J34" s="10"/>
    </row>
    <row r="35" customFormat="false" ht="36" hidden="false" customHeight="true" outlineLevel="0" collapsed="false">
      <c r="A35" s="14"/>
      <c r="B35" s="14"/>
      <c r="C35" s="14"/>
      <c r="D35" s="14"/>
      <c r="E35" s="14"/>
      <c r="F35" s="14"/>
      <c r="G35" s="15"/>
      <c r="H35" s="14"/>
      <c r="I35" s="14"/>
      <c r="J35" s="14"/>
    </row>
    <row r="36" customFormat="false" ht="36" hidden="false" customHeight="true" outlineLevel="0" collapsed="false">
      <c r="A36" s="10"/>
      <c r="B36" s="10"/>
      <c r="C36" s="10"/>
      <c r="D36" s="10"/>
      <c r="E36" s="10"/>
      <c r="F36" s="10"/>
      <c r="G36" s="11"/>
      <c r="H36" s="10"/>
      <c r="I36" s="10"/>
      <c r="J36" s="10"/>
    </row>
    <row r="37" customFormat="false" ht="36" hidden="false" customHeight="true" outlineLevel="0" collapsed="false">
      <c r="A37" s="14"/>
      <c r="B37" s="14"/>
      <c r="C37" s="14"/>
      <c r="D37" s="14"/>
      <c r="E37" s="14"/>
      <c r="F37" s="14"/>
      <c r="G37" s="15"/>
      <c r="H37" s="14"/>
      <c r="I37" s="14"/>
      <c r="J37" s="14"/>
    </row>
    <row r="38" customFormat="false" ht="36" hidden="false" customHeight="true" outlineLevel="0" collapsed="false">
      <c r="A38" s="10"/>
      <c r="B38" s="10"/>
      <c r="C38" s="10"/>
      <c r="D38" s="10"/>
      <c r="E38" s="10"/>
      <c r="F38" s="10"/>
      <c r="G38" s="11"/>
      <c r="H38" s="10"/>
      <c r="I38" s="10"/>
      <c r="J38" s="10"/>
    </row>
    <row r="39" customFormat="false" ht="36" hidden="false" customHeight="true" outlineLevel="0" collapsed="false">
      <c r="A39" s="14"/>
      <c r="B39" s="14"/>
      <c r="C39" s="14"/>
      <c r="D39" s="14"/>
      <c r="E39" s="14"/>
      <c r="F39" s="14"/>
      <c r="G39" s="15"/>
      <c r="H39" s="14"/>
      <c r="I39" s="14"/>
      <c r="J39" s="14"/>
    </row>
    <row r="40" customFormat="false" ht="36" hidden="false" customHeight="true" outlineLevel="0" collapsed="false">
      <c r="A40" s="10"/>
      <c r="B40" s="10"/>
      <c r="C40" s="10"/>
      <c r="D40" s="10"/>
      <c r="E40" s="10"/>
      <c r="F40" s="10"/>
      <c r="G40" s="11"/>
      <c r="H40" s="10"/>
      <c r="I40" s="10"/>
      <c r="J40" s="10"/>
    </row>
    <row r="41" customFormat="false" ht="36" hidden="false" customHeight="true" outlineLevel="0" collapsed="false">
      <c r="A41" s="14"/>
      <c r="B41" s="14"/>
      <c r="C41" s="14"/>
      <c r="D41" s="14"/>
      <c r="E41" s="14"/>
      <c r="F41" s="14"/>
      <c r="G41" s="15"/>
      <c r="H41" s="14"/>
      <c r="I41" s="14"/>
      <c r="J41" s="14"/>
    </row>
    <row r="42" customFormat="false" ht="36" hidden="false" customHeight="true" outlineLevel="0" collapsed="false">
      <c r="A42" s="10"/>
      <c r="B42" s="10"/>
      <c r="C42" s="10"/>
      <c r="D42" s="10"/>
      <c r="E42" s="10"/>
      <c r="F42" s="10"/>
      <c r="G42" s="11"/>
      <c r="H42" s="10"/>
      <c r="I42" s="10"/>
      <c r="J42" s="10"/>
    </row>
    <row r="43" customFormat="false" ht="36" hidden="false" customHeight="true" outlineLevel="0" collapsed="false">
      <c r="A43" s="14"/>
      <c r="B43" s="14"/>
      <c r="C43" s="14"/>
      <c r="D43" s="14"/>
      <c r="E43" s="14"/>
      <c r="F43" s="14"/>
      <c r="G43" s="15"/>
      <c r="H43" s="14"/>
      <c r="I43" s="14"/>
      <c r="J43" s="14"/>
    </row>
    <row r="44" customFormat="false" ht="36" hidden="false" customHeight="true" outlineLevel="0" collapsed="false">
      <c r="A44" s="10"/>
      <c r="B44" s="10"/>
      <c r="C44" s="10"/>
      <c r="D44" s="10"/>
      <c r="E44" s="10"/>
      <c r="F44" s="10"/>
      <c r="G44" s="11"/>
      <c r="H44" s="10"/>
      <c r="I44" s="10"/>
      <c r="J44" s="10"/>
    </row>
    <row r="45" customFormat="false" ht="36" hidden="false" customHeight="true" outlineLevel="0" collapsed="false">
      <c r="A45" s="14"/>
      <c r="B45" s="14"/>
      <c r="C45" s="14"/>
      <c r="D45" s="14"/>
      <c r="E45" s="14"/>
      <c r="F45" s="14"/>
      <c r="G45" s="15"/>
      <c r="H45" s="14"/>
      <c r="I45" s="14"/>
      <c r="J45" s="14"/>
    </row>
    <row r="46" customFormat="false" ht="36" hidden="false" customHeight="true" outlineLevel="0" collapsed="false">
      <c r="A46" s="10"/>
      <c r="B46" s="10"/>
      <c r="C46" s="10"/>
      <c r="D46" s="10"/>
      <c r="E46" s="10"/>
      <c r="F46" s="10"/>
      <c r="G46" s="11"/>
      <c r="H46" s="10"/>
      <c r="I46" s="10"/>
      <c r="J46" s="10"/>
    </row>
    <row r="47" customFormat="false" ht="36" hidden="false" customHeight="true" outlineLevel="0" collapsed="false">
      <c r="A47" s="14"/>
      <c r="B47" s="14"/>
      <c r="C47" s="14"/>
      <c r="D47" s="14"/>
      <c r="E47" s="14"/>
      <c r="F47" s="14"/>
      <c r="G47" s="15"/>
      <c r="H47" s="14"/>
      <c r="I47" s="14"/>
      <c r="J47" s="14"/>
    </row>
    <row r="48" customFormat="false" ht="36" hidden="false" customHeight="true" outlineLevel="0" collapsed="false">
      <c r="A48" s="10"/>
      <c r="B48" s="10"/>
      <c r="C48" s="10"/>
      <c r="D48" s="10"/>
      <c r="E48" s="10"/>
      <c r="F48" s="10"/>
      <c r="G48" s="11"/>
      <c r="H48" s="10"/>
      <c r="I48" s="10"/>
      <c r="J48" s="10"/>
    </row>
    <row r="49" customFormat="false" ht="36" hidden="false" customHeight="true" outlineLevel="0" collapsed="false">
      <c r="A49" s="14"/>
      <c r="B49" s="14"/>
      <c r="C49" s="14"/>
      <c r="D49" s="14"/>
      <c r="E49" s="14"/>
      <c r="F49" s="14"/>
      <c r="G49" s="15"/>
      <c r="H49" s="14"/>
      <c r="I49" s="14"/>
      <c r="J49" s="14"/>
    </row>
    <row r="50" customFormat="false" ht="36" hidden="false" customHeight="true" outlineLevel="0" collapsed="false">
      <c r="A50" s="10"/>
      <c r="B50" s="10"/>
      <c r="C50" s="10"/>
      <c r="D50" s="10"/>
      <c r="E50" s="10"/>
      <c r="F50" s="10"/>
      <c r="G50" s="11"/>
      <c r="H50" s="10"/>
      <c r="I50" s="10"/>
      <c r="J50" s="10"/>
    </row>
    <row r="51" customFormat="false" ht="36" hidden="false" customHeight="true" outlineLevel="0" collapsed="false">
      <c r="A51" s="14"/>
      <c r="B51" s="14"/>
      <c r="C51" s="14"/>
      <c r="D51" s="14"/>
      <c r="E51" s="14"/>
      <c r="F51" s="14"/>
      <c r="G51" s="15"/>
      <c r="H51" s="14"/>
      <c r="I51" s="14"/>
      <c r="J51" s="14"/>
    </row>
    <row r="52" customFormat="false" ht="36" hidden="false" customHeight="true" outlineLevel="0" collapsed="false">
      <c r="A52" s="10"/>
      <c r="B52" s="10"/>
      <c r="C52" s="10"/>
      <c r="D52" s="10"/>
      <c r="E52" s="10"/>
      <c r="F52" s="10"/>
      <c r="G52" s="11"/>
      <c r="H52" s="10"/>
      <c r="I52" s="10"/>
      <c r="J52" s="10"/>
    </row>
    <row r="53" customFormat="false" ht="36" hidden="false" customHeight="true" outlineLevel="0" collapsed="false">
      <c r="A53" s="14"/>
      <c r="B53" s="14"/>
      <c r="C53" s="14"/>
      <c r="D53" s="14"/>
      <c r="E53" s="14"/>
      <c r="F53" s="14"/>
      <c r="G53" s="15"/>
      <c r="H53" s="14"/>
      <c r="I53" s="14"/>
      <c r="J53" s="14"/>
    </row>
    <row r="55" customFormat="false" ht="24" hidden="false" customHeight="true" outlineLevel="0" collapsed="false">
      <c r="A55" s="20" t="s">
        <v>135</v>
      </c>
      <c r="B55" s="20"/>
      <c r="C55" s="20"/>
      <c r="D55" s="20"/>
      <c r="E55" s="20"/>
      <c r="F55" s="20"/>
      <c r="G55" s="21" t="n">
        <f aca="false">SUMIF(G4:G54,"&gt;0",G4:G54)</f>
        <v>514</v>
      </c>
      <c r="H55" s="22" t="str">
        <f aca="false">COUNTIF(H4:H54,"Yes")&amp;" Yes / "&amp;COUNTIF(H4:H54,"Partial")&amp;" Partial"</f>
        <v>9 Yes / 4 Partial</v>
      </c>
      <c r="I55" s="23"/>
      <c r="J55" s="23"/>
    </row>
  </sheetData>
  <mergeCells count="3">
    <mergeCell ref="A1:J1"/>
    <mergeCell ref="A2:J2"/>
    <mergeCell ref="A55:F55"/>
  </mergeCells>
  <dataValidations count="5">
    <dataValidation allowBlank="true" error="Choose a value from the list." errorStyle="stop" errorTitle="Invalid Type" operator="between" showDropDown="false" showErrorMessage="true" showInputMessage="false" sqref="B4:B200" type="list">
      <formula1>"Feature,Bug Fix,Security,Research,Experiment,Infrastructure,Documentation"</formula1>
      <formula2>0</formula2>
    </dataValidation>
    <dataValidation allowBlank="true" error="Choose a developer role." errorStyle="stop" errorTitle="Invalid Role" operator="between" showDropDown="false" showErrorMessage="true" showInputMessage="false" sqref="F4:F200" type="list">
      <formula1>"Developer,Senior Developer,Architect,ML Engineer,QA Engineer,Product"</formula1>
      <formula2>0</formula2>
    </dataValidation>
    <dataValidation allowBlank="true" error="Choose Yes, Partial, or No." errorStyle="stop" errorTitle="Invalid Value" operator="between" showDropDown="false" showErrorMessage="true" showInputMessage="false" sqref="H4:H200" type="list">
      <formula1>"Yes,Partial,No"</formula1>
      <formula2>0</formula2>
    </dataValidation>
    <dataValidation allowBlank="true" error="Choose an impact level." errorStyle="stop" errorTitle="Invalid Impact" operator="between" showDropDown="false" showErrorMessage="true" showInputMessage="false" sqref="J4:J200" type="list">
      <formula1>"Critical,High,Medium,Low"</formula1>
      <formula2>0</formula2>
    </dataValidation>
    <dataValidation allowBlank="true" error="Enter a positive number of hours." errorStyle="stop" errorTitle="Invalid Hours" operator="greaterThan" showDropDown="false" showErrorMessage="true" showInputMessage="false" sqref="G4:G200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5" min="3" style="1" width="18"/>
    <col collapsed="false" customWidth="true" hidden="false" outlineLevel="0" max="6" min="6" style="1" width="3"/>
  </cols>
  <sheetData>
    <row r="1" customFormat="false" ht="31.5" hidden="false" customHeight="true" outlineLevel="0" collapsed="false">
      <c r="B1" s="7" t="s">
        <v>136</v>
      </c>
      <c r="C1" s="7"/>
      <c r="D1" s="7"/>
      <c r="E1" s="7"/>
    </row>
    <row r="2" customFormat="false" ht="19.5" hidden="false" customHeight="true" outlineLevel="0" collapsed="false">
      <c r="B2" s="24" t="s">
        <v>137</v>
      </c>
      <c r="C2" s="24"/>
      <c r="D2" s="24"/>
      <c r="E2" s="24"/>
    </row>
    <row r="4" customFormat="false" ht="21.75" hidden="false" customHeight="true" outlineLevel="0" collapsed="false">
      <c r="B4" s="25" t="s">
        <v>138</v>
      </c>
      <c r="C4" s="25"/>
      <c r="D4" s="25"/>
      <c r="E4" s="25"/>
    </row>
    <row r="5" customFormat="false" ht="18" hidden="false" customHeight="true" outlineLevel="0" collapsed="false">
      <c r="B5" s="26"/>
      <c r="C5" s="26" t="s">
        <v>98</v>
      </c>
      <c r="D5" s="26" t="s">
        <v>58</v>
      </c>
      <c r="E5" s="26" t="s">
        <v>139</v>
      </c>
    </row>
    <row r="6" customFormat="false" ht="19.5" hidden="false" customHeight="true" outlineLevel="0" collapsed="false">
      <c r="B6" s="27" t="s">
        <v>140</v>
      </c>
      <c r="C6" s="28" t="n">
        <v>90000</v>
      </c>
      <c r="D6" s="28" t="n">
        <v>115000</v>
      </c>
      <c r="E6" s="28" t="n">
        <v>145000</v>
      </c>
    </row>
    <row r="7" customFormat="false" ht="19.5" hidden="false" customHeight="true" outlineLevel="0" collapsed="false">
      <c r="B7" s="27" t="s">
        <v>141</v>
      </c>
      <c r="C7" s="29" t="n">
        <v>0.2</v>
      </c>
      <c r="D7" s="29" t="n">
        <v>0.2</v>
      </c>
      <c r="E7" s="29" t="n">
        <v>0.2</v>
      </c>
    </row>
    <row r="8" customFormat="false" ht="19.5" hidden="false" customHeight="true" outlineLevel="0" collapsed="false">
      <c r="B8" s="27" t="s">
        <v>142</v>
      </c>
      <c r="C8" s="30" t="n">
        <v>1800</v>
      </c>
      <c r="D8" s="30" t="n">
        <v>1800</v>
      </c>
      <c r="E8" s="30" t="n">
        <v>1800</v>
      </c>
    </row>
    <row r="10" customFormat="false" ht="21.75" hidden="false" customHeight="true" outlineLevel="0" collapsed="false">
      <c r="B10" s="25" t="s">
        <v>143</v>
      </c>
      <c r="C10" s="25"/>
      <c r="D10" s="25"/>
      <c r="E10" s="25"/>
    </row>
    <row r="11" customFormat="false" ht="18" hidden="false" customHeight="true" outlineLevel="0" collapsed="false">
      <c r="B11" s="26"/>
      <c r="C11" s="26" t="s">
        <v>144</v>
      </c>
      <c r="D11" s="26" t="s">
        <v>145</v>
      </c>
      <c r="E11" s="26" t="s">
        <v>146</v>
      </c>
    </row>
    <row r="12" customFormat="false" ht="19.5" hidden="false" customHeight="true" outlineLevel="0" collapsed="false">
      <c r="B12" s="31" t="s">
        <v>98</v>
      </c>
      <c r="C12" s="32" t="n">
        <f aca="false">SUMPRODUCT(('Activity Log'!G$4:G$200)*('Activity Log'!F$4:F$200="Developer")*('Activity Log'!H$4:H$200="Yes"))</f>
        <v>0</v>
      </c>
      <c r="D12" s="32" t="n">
        <f aca="false">SUMPRODUCT(('Activity Log'!G$4:G$200)*('Activity Log'!F$4:F$200="Developer")*('Activity Log'!H$4:H$200="Partial"))*0.5</f>
        <v>0</v>
      </c>
      <c r="E12" s="32" t="n">
        <f aca="false">SUMPRODUCT(('Activity Log'!G$4:G$200)*('Activity Log'!F$4:F$200="Developer"))</f>
        <v>24</v>
      </c>
    </row>
    <row r="13" customFormat="false" ht="19.5" hidden="false" customHeight="true" outlineLevel="0" collapsed="false">
      <c r="B13" s="27" t="s">
        <v>58</v>
      </c>
      <c r="C13" s="33" t="n">
        <f aca="false">SUMPRODUCT(('Activity Log'!G$4:G$200)*('Activity Log'!F$4:F$200="Senior Developer")*('Activity Log'!H$4:H$200="Yes"))</f>
        <v>126</v>
      </c>
      <c r="D13" s="33" t="n">
        <f aca="false">SUMPRODUCT(('Activity Log'!G$4:G$200)*('Activity Log'!F$4:F$200="Senior Developer")*('Activity Log'!H$4:H$200="Partial"))*0.5</f>
        <v>42</v>
      </c>
      <c r="E13" s="33" t="n">
        <f aca="false">SUMPRODUCT(('Activity Log'!G$4:G$200)*('Activity Log'!F$4:F$200="Senior Developer"))</f>
        <v>210</v>
      </c>
    </row>
    <row r="14" customFormat="false" ht="19.5" hidden="false" customHeight="true" outlineLevel="0" collapsed="false">
      <c r="B14" s="31" t="s">
        <v>81</v>
      </c>
      <c r="C14" s="32" t="n">
        <f aca="false">SUMPRODUCT(('Activity Log'!G$4:G$200)*('Activity Log'!F$4:F$200="Architect")*('Activity Log'!H$4:H$200="Yes"))</f>
        <v>52</v>
      </c>
      <c r="D14" s="32" t="n">
        <f aca="false">SUMPRODUCT(('Activity Log'!G$4:G$200)*('Activity Log'!F$4:F$200="Architect")*('Activity Log'!H$4:H$200="Partial"))*0.5</f>
        <v>28</v>
      </c>
      <c r="E14" s="32" t="n">
        <f aca="false">SUMPRODUCT(('Activity Log'!G$4:G$200)*('Activity Log'!F$4:F$200="Architect"))</f>
        <v>108</v>
      </c>
    </row>
    <row r="15" customFormat="false" ht="19.5" hidden="false" customHeight="true" outlineLevel="0" collapsed="false">
      <c r="B15" s="27" t="s">
        <v>66</v>
      </c>
      <c r="C15" s="33" t="n">
        <f aca="false">SUMPRODUCT(('Activity Log'!G$4:G$200)*('Activity Log'!F$4:F$200="ML Engineer")*('Activity Log'!H$4:H$200="Yes"))</f>
        <v>172</v>
      </c>
      <c r="D15" s="33" t="n">
        <f aca="false">SUMPRODUCT(('Activity Log'!G$4:G$200)*('Activity Log'!F$4:F$200="ML Engineer")*('Activity Log'!H$4:H$200="Partial"))*0.5</f>
        <v>0</v>
      </c>
      <c r="E15" s="33" t="n">
        <f aca="false">SUMPRODUCT(('Activity Log'!G$4:G$200)*('Activity Log'!F$4:F$200="ML Engineer"))</f>
        <v>172</v>
      </c>
    </row>
    <row r="16" customFormat="false" ht="19.5" hidden="false" customHeight="true" outlineLevel="0" collapsed="false">
      <c r="B16" s="31" t="s">
        <v>147</v>
      </c>
      <c r="C16" s="32" t="n">
        <f aca="false">SUMPRODUCT(('Activity Log'!G$4:G$200)*('Activity Log'!F$4:F$200="QA Engineer")*('Activity Log'!H$4:H$200="Yes"))</f>
        <v>0</v>
      </c>
      <c r="D16" s="32" t="n">
        <f aca="false">SUMPRODUCT(('Activity Log'!G$4:G$200)*('Activity Log'!F$4:F$200="QA Engineer")*('Activity Log'!H$4:H$200="Partial"))*0.5</f>
        <v>0</v>
      </c>
      <c r="E16" s="32" t="n">
        <f aca="false">SUMPRODUCT(('Activity Log'!G$4:G$200)*('Activity Log'!F$4:F$200="QA Engineer"))</f>
        <v>0</v>
      </c>
    </row>
    <row r="17" customFormat="false" ht="19.5" hidden="false" customHeight="true" outlineLevel="0" collapsed="false">
      <c r="B17" s="27" t="s">
        <v>148</v>
      </c>
      <c r="C17" s="33" t="n">
        <f aca="false">SUMPRODUCT(('Activity Log'!G$4:G$200)*('Activity Log'!F$4:F$200="Product")*('Activity Log'!H$4:H$200="Yes"))</f>
        <v>0</v>
      </c>
      <c r="D17" s="33" t="n">
        <f aca="false">SUMPRODUCT(('Activity Log'!G$4:G$200)*('Activity Log'!F$4:F$200="Product")*('Activity Log'!H$4:H$200="Partial"))*0.5</f>
        <v>0</v>
      </c>
      <c r="E17" s="33" t="n">
        <f aca="false">SUMPRODUCT(('Activity Log'!G$4:G$200)*('Activity Log'!F$4:F$200="Product"))</f>
        <v>0</v>
      </c>
    </row>
    <row r="18" customFormat="false" ht="21.75" hidden="false" customHeight="true" outlineLevel="0" collapsed="false">
      <c r="B18" s="34" t="s">
        <v>149</v>
      </c>
      <c r="C18" s="35" t="n">
        <f aca="false">SUM(C12:C17)</f>
        <v>350</v>
      </c>
      <c r="D18" s="35" t="n">
        <f aca="false">SUM(D12:D17)</f>
        <v>70</v>
      </c>
      <c r="E18" s="35" t="n">
        <f aca="false">SUM(E12:E17)</f>
        <v>514</v>
      </c>
    </row>
    <row r="20" customFormat="false" ht="21.75" hidden="false" customHeight="true" outlineLevel="0" collapsed="false">
      <c r="B20" s="25" t="s">
        <v>150</v>
      </c>
      <c r="C20" s="25"/>
      <c r="D20" s="25"/>
      <c r="E20" s="25"/>
    </row>
    <row r="21" customFormat="false" ht="18" hidden="false" customHeight="true" outlineLevel="0" collapsed="false">
      <c r="B21" s="26"/>
      <c r="C21" s="26" t="s">
        <v>98</v>
      </c>
      <c r="D21" s="26" t="s">
        <v>58</v>
      </c>
      <c r="E21" s="26" t="s">
        <v>139</v>
      </c>
    </row>
    <row r="22" customFormat="false" ht="19.5" hidden="false" customHeight="true" outlineLevel="0" collapsed="false">
      <c r="B22" s="31" t="s">
        <v>151</v>
      </c>
      <c r="C22" s="36" t="n">
        <f aca="false">C6/C8</f>
        <v>50</v>
      </c>
      <c r="D22" s="36" t="n">
        <f aca="false">D6/D8</f>
        <v>63.8888888888889</v>
      </c>
      <c r="E22" s="36" t="n">
        <f aca="false">E6/E8</f>
        <v>80.5555555555556</v>
      </c>
    </row>
    <row r="23" customFormat="false" ht="19.5" hidden="false" customHeight="true" outlineLevel="0" collapsed="false">
      <c r="B23" s="27" t="s">
        <v>152</v>
      </c>
      <c r="C23" s="37" t="n">
        <f aca="false">C12*(C6/C8)</f>
        <v>0</v>
      </c>
      <c r="D23" s="37" t="n">
        <f aca="false">D13*(D6/D8)</f>
        <v>2683.33333333333</v>
      </c>
      <c r="E23" s="37" t="n">
        <f aca="false">E14*(E6/E8)</f>
        <v>8700</v>
      </c>
    </row>
    <row r="24" customFormat="false" ht="19.5" hidden="false" customHeight="true" outlineLevel="0" collapsed="false">
      <c r="B24" s="31" t="s">
        <v>153</v>
      </c>
      <c r="C24" s="38" t="n">
        <f aca="false">C13*(C6/C8)</f>
        <v>6300</v>
      </c>
      <c r="D24" s="38" t="n">
        <f aca="false">D14*(D6/D8)</f>
        <v>1788.88888888889</v>
      </c>
      <c r="E24" s="38" t="n">
        <f aca="false">E15*(E6/E8)</f>
        <v>13855.5555555556</v>
      </c>
    </row>
    <row r="25" customFormat="false" ht="19.5" hidden="false" customHeight="true" outlineLevel="0" collapsed="false">
      <c r="B25" s="27" t="s">
        <v>154</v>
      </c>
      <c r="C25" s="37" t="n">
        <f aca="false">(C23+C24)*C7</f>
        <v>1260</v>
      </c>
      <c r="D25" s="37" t="n">
        <f aca="false">(D23+D24)*D7</f>
        <v>894.444444444444</v>
      </c>
      <c r="E25" s="37" t="n">
        <f aca="false">(E23+E24)*E7</f>
        <v>4511.11111111111</v>
      </c>
    </row>
    <row r="26" customFormat="false" ht="19.5" hidden="false" customHeight="true" outlineLevel="0" collapsed="false">
      <c r="B26" s="34" t="s">
        <v>155</v>
      </c>
      <c r="C26" s="39" t="n">
        <f aca="false">C23+C24+C25</f>
        <v>7560</v>
      </c>
      <c r="D26" s="39" t="n">
        <f aca="false">D23+D24+D25</f>
        <v>5366.66666666667</v>
      </c>
      <c r="E26" s="39" t="n">
        <f aca="false">E23+E24+E25</f>
        <v>27066.6666666667</v>
      </c>
    </row>
    <row r="28" customFormat="false" ht="21.75" hidden="false" customHeight="true" outlineLevel="0" collapsed="false">
      <c r="B28" s="25" t="s">
        <v>156</v>
      </c>
      <c r="C28" s="25"/>
      <c r="D28" s="25"/>
      <c r="E28" s="25"/>
    </row>
    <row r="29" customFormat="false" ht="21.75" hidden="false" customHeight="true" outlineLevel="0" collapsed="false">
      <c r="B29" s="40" t="s">
        <v>157</v>
      </c>
      <c r="C29" s="40"/>
      <c r="D29" s="40"/>
      <c r="E29" s="37" t="n">
        <f aca="false">C26+D26+E26</f>
        <v>39993.3333333333</v>
      </c>
    </row>
    <row r="30" customFormat="false" ht="21.75" hidden="false" customHeight="true" outlineLevel="0" collapsed="false">
      <c r="B30" s="41" t="s">
        <v>158</v>
      </c>
      <c r="C30" s="41"/>
      <c r="D30" s="41"/>
      <c r="E30" s="29" t="s">
        <v>159</v>
      </c>
    </row>
    <row r="31" customFormat="false" ht="21.75" hidden="false" customHeight="true" outlineLevel="0" collapsed="false">
      <c r="B31" s="40" t="s">
        <v>160</v>
      </c>
      <c r="C31" s="40"/>
      <c r="D31" s="40"/>
      <c r="E31" s="29" t="s">
        <v>161</v>
      </c>
    </row>
    <row r="32" customFormat="false" ht="21.75" hidden="false" customHeight="true" outlineLevel="0" collapsed="false">
      <c r="B32" s="41" t="s">
        <v>162</v>
      </c>
      <c r="C32" s="41"/>
      <c r="D32" s="41"/>
      <c r="E32" s="38" t="n">
        <f aca="false">C29*C30</f>
        <v>0</v>
      </c>
    </row>
    <row r="33" customFormat="false" ht="21.75" hidden="false" customHeight="true" outlineLevel="0" collapsed="false">
      <c r="B33" s="40" t="s">
        <v>163</v>
      </c>
      <c r="C33" s="40"/>
      <c r="D33" s="40"/>
      <c r="E33" s="37" t="n">
        <f aca="false">C29*C31</f>
        <v>0</v>
      </c>
    </row>
    <row r="34" customFormat="false" ht="21.75" hidden="false" customHeight="true" outlineLevel="0" collapsed="false">
      <c r="B34" s="42" t="s">
        <v>164</v>
      </c>
      <c r="C34" s="42"/>
      <c r="D34" s="42"/>
      <c r="E34" s="43" t="n">
        <f aca="false">C32+C33</f>
        <v>0</v>
      </c>
    </row>
    <row r="36" customFormat="false" ht="30" hidden="false" customHeight="true" outlineLevel="0" collapsed="false">
      <c r="B36" s="44" t="s">
        <v>165</v>
      </c>
      <c r="C36" s="44"/>
      <c r="D36" s="44"/>
      <c r="E36" s="44"/>
    </row>
  </sheetData>
  <mergeCells count="13">
    <mergeCell ref="B1:E1"/>
    <mergeCell ref="B2:E2"/>
    <mergeCell ref="B4:E4"/>
    <mergeCell ref="B10:E10"/>
    <mergeCell ref="B20:E20"/>
    <mergeCell ref="B28:E28"/>
    <mergeCell ref="B29:D29"/>
    <mergeCell ref="B30:D30"/>
    <mergeCell ref="B31:D31"/>
    <mergeCell ref="B32:D32"/>
    <mergeCell ref="B33:D33"/>
    <mergeCell ref="B34:D34"/>
    <mergeCell ref="B36:E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2026-04-15T02:55:10Z</dcterms:created>
  <dc:creator>openpyxl</dc:creator>
  <dc:description/>
  <dc:language>en-US</dc:language>
  <cp:lastModifiedBy/>
  <dcterms:modified xsi:type="dcterms:W3CDTF">2026-04-15T02:57:06Z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